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/>
  <bookViews>
    <workbookView xWindow="11460" yWindow="-15" windowWidth="3855" windowHeight="8250"/>
  </bookViews>
  <sheets>
    <sheet name="Cálculo" sheetId="1" r:id="rId1"/>
    <sheet name="Antenas" sheetId="2" r:id="rId2"/>
    <sheet name="KML" sheetId="3" state="hidden" r:id="rId3"/>
  </sheets>
  <functionGroups builtInGroupCount="17"/>
  <calcPr calcId="145621"/>
</workbook>
</file>

<file path=xl/calcChain.xml><?xml version="1.0" encoding="utf-8"?>
<calcChain xmlns="http://schemas.openxmlformats.org/spreadsheetml/2006/main">
  <c r="U2" i="1" l="1"/>
  <c r="O27" i="1" s="1"/>
  <c r="P27" i="1" s="1"/>
  <c r="K26" i="1"/>
  <c r="L26" i="1" s="1"/>
  <c r="H5" i="1"/>
  <c r="B12" i="1"/>
  <c r="G4" i="1" l="1"/>
  <c r="J7" i="1"/>
  <c r="I6" i="1"/>
  <c r="U3" i="1"/>
  <c r="H25" i="1" s="1"/>
  <c r="I25" i="1" s="1"/>
</calcChain>
</file>

<file path=xl/sharedStrings.xml><?xml version="1.0" encoding="utf-8"?>
<sst xmlns="http://schemas.openxmlformats.org/spreadsheetml/2006/main" count="77" uniqueCount="73">
  <si>
    <t>Parte Inferior do lóbulo</t>
  </si>
  <si>
    <t>Altura da torre</t>
  </si>
  <si>
    <t>Metros</t>
  </si>
  <si>
    <t>Abertura vertical da antena:</t>
  </si>
  <si>
    <t>Atura da torre:</t>
  </si>
  <si>
    <t>Graus</t>
  </si>
  <si>
    <t>HORIZONTE</t>
  </si>
  <si>
    <t>TERRA</t>
  </si>
  <si>
    <t>Tilt (Elétrico + Mecânico)</t>
  </si>
  <si>
    <t>Parte Superior do lóbulo</t>
  </si>
  <si>
    <t>Parte Central do lóbulo</t>
  </si>
  <si>
    <t>Antena</t>
  </si>
  <si>
    <t>PCSD18-06516-0D</t>
  </si>
  <si>
    <t>PCSD18-06516-2D</t>
  </si>
  <si>
    <t>PCSD18-06516-6D</t>
  </si>
  <si>
    <t>PCSD18-09015-2D</t>
  </si>
  <si>
    <t>PCSD18-06513-0D</t>
  </si>
  <si>
    <t>PCS-XAZ06-0D-37</t>
  </si>
  <si>
    <t>PCS-XAZ06-0D-67</t>
  </si>
  <si>
    <t>PCS-09014-2D</t>
  </si>
  <si>
    <t>PCS-XAZ07-0D-37</t>
  </si>
  <si>
    <t>PCS-XAZ06-0D-47</t>
  </si>
  <si>
    <t>PCS-XAZ06-2D-39</t>
  </si>
  <si>
    <t>PCS-XAZ06-2D-48</t>
  </si>
  <si>
    <t>PCS-XAZ06-2D-67</t>
  </si>
  <si>
    <t>PCS-XAZ06-4D-67</t>
  </si>
  <si>
    <t>PCS-XAZ07-0D-47</t>
  </si>
  <si>
    <t>PCS-XAZ07-0D-67</t>
  </si>
  <si>
    <t>PCSD18-09015-0D</t>
  </si>
  <si>
    <t>PCS-09014-0D</t>
  </si>
  <si>
    <t>739 495</t>
  </si>
  <si>
    <t>739 496</t>
  </si>
  <si>
    <t>739 707</t>
  </si>
  <si>
    <t>739 927</t>
  </si>
  <si>
    <t>739 134</t>
  </si>
  <si>
    <t>UMWD-03319-XDM</t>
  </si>
  <si>
    <t>UMWD-06516-XDM</t>
  </si>
  <si>
    <t>738 407</t>
  </si>
  <si>
    <t>742 150</t>
  </si>
  <si>
    <t>DB854DG65ESY</t>
  </si>
  <si>
    <t>DB856DG90ESY</t>
  </si>
  <si>
    <t>DB809KT3E-Y</t>
  </si>
  <si>
    <t>CTSDG-03016-0D</t>
  </si>
  <si>
    <t>ADFD0920-6565B-XD (900)</t>
  </si>
  <si>
    <t>ADFD0920-6565B-XD (1800)</t>
  </si>
  <si>
    <t>742 264 (900)</t>
  </si>
  <si>
    <t>742 264 (1800)</t>
  </si>
  <si>
    <t>742 265 (900)</t>
  </si>
  <si>
    <t>742 265 (1800)</t>
  </si>
  <si>
    <t>DBXLH6565B-VTM (900)</t>
  </si>
  <si>
    <t>DBXLH6565B-VTM (1800)</t>
  </si>
  <si>
    <t>PCS-06509-0D</t>
  </si>
  <si>
    <t>I-ATO1</t>
  </si>
  <si>
    <t>CE 17018-21</t>
  </si>
  <si>
    <t>7</t>
  </si>
  <si>
    <t>8.5</t>
  </si>
  <si>
    <t>HBX-6516DS-VTM</t>
  </si>
  <si>
    <t>APXV18-206516L-C</t>
  </si>
  <si>
    <t>UMWD-09014-XDH</t>
  </si>
  <si>
    <t>APX16DWV-16DWV</t>
  </si>
  <si>
    <t>HWX-6516DS</t>
  </si>
  <si>
    <t>Lat</t>
  </si>
  <si>
    <t>Lon</t>
  </si>
  <si>
    <t>Altitude</t>
  </si>
  <si>
    <t>Abertura Horizontal</t>
  </si>
  <si>
    <t>Azimute_01</t>
  </si>
  <si>
    <t>Azimute_02</t>
  </si>
  <si>
    <t>Azimute_03</t>
  </si>
  <si>
    <t>Azimute_04</t>
  </si>
  <si>
    <t>Tilt</t>
  </si>
  <si>
    <t>Abertura_H</t>
  </si>
  <si>
    <t>Abertura_V</t>
  </si>
  <si>
    <t>Altura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</si>
</sst>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0"/>
      <name val="Arial"/>
      <family val="2"/>
    </font>
    <font>
      <b/>
      <sz val="12"/>
      <color indexed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8"/>
      <color indexed="8"/>
      <name val="MS Sans Serif"/>
      <family val="2"/>
    </font>
    <font>
      <sz val="1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5">
    <xf numFmtId="0" fontId="0" fillId="0" borderId="0"/>
    <xf numFmtId="0" fontId="12" fillId="0" borderId="0"/>
    <xf numFmtId="0" fontId="8" fillId="0" borderId="0"/>
    <xf numFmtId="0" fontId="9" fillId="0" borderId="0"/>
    <xf numFmtId="0" fontId="8" fillId="0" borderId="0"/>
  </cellStyleXfs>
  <cellXfs count="76">
    <xf numFmtId="0" fontId="0" fillId="0" borderId="0" xfId="0"/>
    <xf numFmtId="0" fontId="2" fillId="0" borderId="0" xfId="1" applyFont="1"/>
    <xf numFmtId="0" fontId="0" fillId="0" borderId="0" xfId="1" applyFont="1" applyAlignment="1">
      <alignment vertical="top" wrapText="1"/>
    </xf>
    <xf numFmtId="0" fontId="4" fillId="2" borderId="1" xfId="1" applyFont="1" applyFill="1" applyBorder="1"/>
    <xf numFmtId="0" fontId="6" fillId="3" borderId="2" xfId="1" applyFont="1" applyFill="1" applyBorder="1"/>
    <xf numFmtId="0" fontId="6" fillId="4" borderId="2" xfId="1" applyFont="1" applyFill="1" applyBorder="1" applyAlignment="1">
      <alignment horizontal="center"/>
    </xf>
    <xf numFmtId="1" fontId="3" fillId="2" borderId="3" xfId="1" applyNumberFormat="1" applyFont="1" applyFill="1" applyBorder="1" applyAlignment="1">
      <alignment horizontal="center"/>
    </xf>
    <xf numFmtId="0" fontId="4" fillId="2" borderId="0" xfId="1" applyFont="1" applyFill="1" applyBorder="1"/>
    <xf numFmtId="0" fontId="3" fillId="5" borderId="4" xfId="1" applyFont="1" applyFill="1" applyBorder="1"/>
    <xf numFmtId="1" fontId="3" fillId="5" borderId="5" xfId="1" applyNumberFormat="1" applyFont="1" applyFill="1" applyBorder="1"/>
    <xf numFmtId="0" fontId="0" fillId="0" borderId="6" xfId="1" applyFont="1" applyFill="1" applyBorder="1"/>
    <xf numFmtId="0" fontId="0" fillId="0" borderId="7" xfId="1" applyFont="1" applyFill="1" applyBorder="1"/>
    <xf numFmtId="0" fontId="0" fillId="0" borderId="8" xfId="1" applyFont="1" applyFill="1" applyBorder="1"/>
    <xf numFmtId="0" fontId="0" fillId="0" borderId="9" xfId="1" applyFont="1" applyBorder="1" applyAlignment="1">
      <alignment vertical="top" wrapText="1"/>
    </xf>
    <xf numFmtId="0" fontId="0" fillId="0" borderId="10" xfId="1" applyFont="1" applyBorder="1" applyAlignment="1">
      <alignment vertical="top" wrapText="1"/>
    </xf>
    <xf numFmtId="0" fontId="2" fillId="6" borderId="11" xfId="1" applyFont="1" applyFill="1" applyBorder="1"/>
    <xf numFmtId="0" fontId="2" fillId="6" borderId="12" xfId="1" applyFont="1" applyFill="1" applyBorder="1"/>
    <xf numFmtId="1" fontId="3" fillId="6" borderId="13" xfId="1" applyNumberFormat="1" applyFont="1" applyFill="1" applyBorder="1" applyAlignment="1">
      <alignment horizontal="center"/>
    </xf>
    <xf numFmtId="0" fontId="0" fillId="0" borderId="0" xfId="1" applyFont="1" applyBorder="1" applyAlignment="1">
      <alignment vertical="top" wrapText="1"/>
    </xf>
    <xf numFmtId="0" fontId="6" fillId="0" borderId="2" xfId="1" applyFont="1" applyBorder="1" applyAlignment="1">
      <alignment horizontal="center" vertical="top" wrapText="1"/>
    </xf>
    <xf numFmtId="0" fontId="0" fillId="0" borderId="14" xfId="1" applyFont="1" applyBorder="1" applyAlignment="1">
      <alignment vertical="top" wrapText="1"/>
    </xf>
    <xf numFmtId="0" fontId="0" fillId="0" borderId="15" xfId="1" applyFont="1" applyBorder="1" applyAlignment="1">
      <alignment vertical="top" wrapText="1"/>
    </xf>
    <xf numFmtId="0" fontId="0" fillId="0" borderId="16" xfId="1" applyFont="1" applyBorder="1" applyAlignment="1">
      <alignment vertical="top" wrapText="1"/>
    </xf>
    <xf numFmtId="0" fontId="0" fillId="0" borderId="17" xfId="1" applyFont="1" applyBorder="1" applyAlignment="1">
      <alignment vertical="top" wrapText="1"/>
    </xf>
    <xf numFmtId="0" fontId="0" fillId="0" borderId="18" xfId="1" applyFont="1" applyBorder="1" applyAlignment="1">
      <alignment vertical="top" wrapText="1"/>
    </xf>
    <xf numFmtId="0" fontId="0" fillId="7" borderId="0" xfId="1" applyFont="1" applyFill="1" applyBorder="1" applyAlignment="1">
      <alignment vertical="top" wrapText="1"/>
    </xf>
    <xf numFmtId="0" fontId="7" fillId="7" borderId="2" xfId="1" applyFont="1" applyFill="1" applyBorder="1" applyAlignment="1">
      <alignment horizontal="center"/>
    </xf>
    <xf numFmtId="2" fontId="7" fillId="7" borderId="2" xfId="1" applyNumberFormat="1" applyFont="1" applyFill="1" applyBorder="1" applyAlignment="1">
      <alignment horizontal="center"/>
    </xf>
    <xf numFmtId="0" fontId="3" fillId="2" borderId="19" xfId="1" applyFont="1" applyFill="1" applyBorder="1" applyAlignment="1">
      <alignment horizontal="left" shrinkToFit="1"/>
    </xf>
    <xf numFmtId="0" fontId="0" fillId="0" borderId="5" xfId="1" applyFont="1" applyBorder="1" applyAlignment="1">
      <alignment vertical="top" wrapText="1"/>
    </xf>
    <xf numFmtId="0" fontId="0" fillId="0" borderId="4" xfId="1" applyFont="1" applyBorder="1" applyAlignment="1">
      <alignment vertical="top" wrapText="1"/>
    </xf>
    <xf numFmtId="0" fontId="3" fillId="7" borderId="20" xfId="1" applyFont="1" applyFill="1" applyBorder="1" applyAlignment="1">
      <alignment vertical="top" wrapText="1"/>
    </xf>
    <xf numFmtId="0" fontId="0" fillId="7" borderId="21" xfId="1" applyFont="1" applyFill="1" applyBorder="1" applyAlignment="1">
      <alignment vertical="top" wrapText="1"/>
    </xf>
    <xf numFmtId="0" fontId="7" fillId="7" borderId="22" xfId="1" applyFont="1" applyFill="1" applyBorder="1" applyAlignment="1">
      <alignment horizontal="center" vertical="top" wrapText="1"/>
    </xf>
    <xf numFmtId="49" fontId="10" fillId="0" borderId="0" xfId="2" applyNumberFormat="1" applyFont="1" applyFill="1" applyBorder="1" applyAlignment="1" applyProtection="1">
      <alignment horizontal="right" wrapText="1"/>
      <protection locked="0"/>
    </xf>
    <xf numFmtId="49" fontId="10" fillId="0" borderId="0" xfId="3" applyNumberFormat="1" applyFont="1" applyFill="1" applyBorder="1" applyAlignment="1" applyProtection="1">
      <alignment horizontal="right" wrapText="1"/>
      <protection locked="0"/>
    </xf>
    <xf numFmtId="0" fontId="0" fillId="0" borderId="23" xfId="1" applyFont="1" applyFill="1" applyBorder="1" applyAlignment="1">
      <alignment horizontal="center"/>
    </xf>
    <xf numFmtId="0" fontId="8" fillId="0" borderId="23" xfId="4" applyFont="1" applyFill="1" applyBorder="1" applyAlignment="1">
      <alignment horizontal="center" wrapText="1"/>
    </xf>
    <xf numFmtId="0" fontId="11" fillId="0" borderId="23" xfId="1" applyFont="1" applyBorder="1"/>
    <xf numFmtId="0" fontId="0" fillId="3" borderId="23" xfId="1" applyFont="1" applyFill="1" applyBorder="1" applyAlignment="1">
      <alignment horizontal="center"/>
    </xf>
    <xf numFmtId="0" fontId="1" fillId="3" borderId="23" xfId="1" applyNumberFormat="1" applyFont="1" applyFill="1" applyBorder="1" applyAlignment="1">
      <alignment horizontal="center"/>
    </xf>
    <xf numFmtId="0" fontId="11" fillId="3" borderId="23" xfId="1" applyFont="1" applyFill="1" applyBorder="1" applyAlignment="1">
      <alignment horizontal="center"/>
    </xf>
    <xf numFmtId="0" fontId="11" fillId="8" borderId="23" xfId="1" applyFont="1" applyFill="1" applyBorder="1" applyAlignment="1">
      <alignment horizontal="center"/>
    </xf>
    <xf numFmtId="0" fontId="0" fillId="8" borderId="23" xfId="1" applyFont="1" applyFill="1" applyBorder="1" applyAlignment="1">
      <alignment horizontal="center"/>
    </xf>
    <xf numFmtId="0" fontId="0" fillId="7" borderId="23" xfId="1" applyFont="1" applyFill="1" applyBorder="1" applyAlignment="1">
      <alignment horizontal="center"/>
    </xf>
    <xf numFmtId="0" fontId="0" fillId="0" borderId="0" xfId="1" applyFont="1" applyAlignment="1">
      <alignment horizontal="center"/>
    </xf>
    <xf numFmtId="0" fontId="0" fillId="0" borderId="24" xfId="1" applyFont="1" applyFill="1" applyBorder="1" applyAlignment="1">
      <alignment horizontal="center"/>
    </xf>
    <xf numFmtId="0" fontId="0" fillId="0" borderId="6" xfId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11" fillId="0" borderId="7" xfId="1" applyFont="1" applyFill="1" applyBorder="1"/>
    <xf numFmtId="0" fontId="6" fillId="9" borderId="2" xfId="1" applyFont="1" applyFill="1" applyBorder="1" applyAlignment="1">
      <alignment vertical="top" wrapText="1"/>
    </xf>
    <xf numFmtId="0" fontId="6" fillId="3" borderId="0" xfId="1" applyFont="1" applyFill="1" applyBorder="1"/>
    <xf numFmtId="0" fontId="6" fillId="10" borderId="2" xfId="1" applyFont="1" applyFill="1" applyBorder="1" applyAlignment="1">
      <alignment horizontal="center" vertical="center" wrapText="1"/>
    </xf>
    <xf numFmtId="0" fontId="3" fillId="11" borderId="2" xfId="1" applyFont="1" applyFill="1" applyBorder="1" applyAlignment="1">
      <alignment horizontal="center" vertical="center" wrapText="1"/>
    </xf>
    <xf numFmtId="0" fontId="6" fillId="10" borderId="2" xfId="1" applyFont="1" applyFill="1" applyBorder="1" applyAlignment="1">
      <alignment horizontal="center" vertical="top" wrapText="1"/>
    </xf>
    <xf numFmtId="0" fontId="1" fillId="0" borderId="0" xfId="0" applyFont="1"/>
    <xf numFmtId="0" fontId="6" fillId="10" borderId="5" xfId="1" applyFont="1" applyFill="1" applyBorder="1" applyAlignment="1">
      <alignment horizontal="center" vertical="top" wrapText="1"/>
    </xf>
    <xf numFmtId="0" fontId="6" fillId="10" borderId="4" xfId="1" applyFont="1" applyFill="1" applyBorder="1" applyAlignment="1">
      <alignment horizontal="center" vertical="top" wrapText="1"/>
    </xf>
    <xf numFmtId="0" fontId="3" fillId="6" borderId="11" xfId="1" applyFont="1" applyFill="1" applyBorder="1" applyAlignment="1">
      <alignment horizontal="center" shrinkToFit="1"/>
    </xf>
    <xf numFmtId="0" fontId="3" fillId="6" borderId="19" xfId="1" applyFont="1" applyFill="1" applyBorder="1" applyAlignment="1">
      <alignment horizontal="center" shrinkToFit="1"/>
    </xf>
    <xf numFmtId="0" fontId="5" fillId="6" borderId="13" xfId="1" applyFont="1" applyFill="1" applyBorder="1" applyAlignment="1">
      <alignment horizontal="left"/>
    </xf>
    <xf numFmtId="0" fontId="5" fillId="6" borderId="11" xfId="1" applyFont="1" applyFill="1" applyBorder="1" applyAlignment="1">
      <alignment horizontal="left"/>
    </xf>
    <xf numFmtId="0" fontId="6" fillId="8" borderId="5" xfId="1" applyFont="1" applyFill="1" applyBorder="1" applyAlignment="1">
      <alignment horizontal="right"/>
    </xf>
    <xf numFmtId="0" fontId="6" fillId="8" borderId="25" xfId="1" applyFont="1" applyFill="1" applyBorder="1" applyAlignment="1">
      <alignment horizontal="right"/>
    </xf>
    <xf numFmtId="0" fontId="6" fillId="8" borderId="4" xfId="1" applyFont="1" applyFill="1" applyBorder="1" applyAlignment="1">
      <alignment horizontal="right"/>
    </xf>
    <xf numFmtId="3" fontId="6" fillId="10" borderId="5" xfId="1" applyNumberFormat="1" applyFont="1" applyFill="1" applyBorder="1" applyAlignment="1">
      <alignment horizontal="center" vertical="top" wrapText="1"/>
    </xf>
    <xf numFmtId="0" fontId="6" fillId="10" borderId="5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center" vertical="center" wrapText="1"/>
    </xf>
    <xf numFmtId="0" fontId="6" fillId="0" borderId="5" xfId="1" applyFont="1" applyBorder="1" applyAlignment="1">
      <alignment horizontal="center"/>
    </xf>
    <xf numFmtId="0" fontId="6" fillId="0" borderId="25" xfId="1" applyFont="1" applyBorder="1" applyAlignment="1">
      <alignment horizontal="center"/>
    </xf>
    <xf numFmtId="0" fontId="6" fillId="0" borderId="4" xfId="1" applyFont="1" applyBorder="1" applyAlignment="1">
      <alignment horizontal="center"/>
    </xf>
    <xf numFmtId="0" fontId="5" fillId="5" borderId="3" xfId="1" applyFont="1" applyFill="1" applyBorder="1" applyAlignment="1">
      <alignment horizontal="left"/>
    </xf>
    <xf numFmtId="0" fontId="5" fillId="5" borderId="26" xfId="1" applyFont="1" applyFill="1" applyBorder="1" applyAlignment="1">
      <alignment horizontal="left"/>
    </xf>
    <xf numFmtId="0" fontId="5" fillId="2" borderId="3" xfId="1" applyFont="1" applyFill="1" applyBorder="1" applyAlignment="1">
      <alignment horizontal="left"/>
    </xf>
    <xf numFmtId="0" fontId="5" fillId="2" borderId="26" xfId="1" applyFont="1" applyFill="1" applyBorder="1" applyAlignment="1">
      <alignment horizontal="left"/>
    </xf>
    <xf numFmtId="0" fontId="6" fillId="8" borderId="2" xfId="1" applyFont="1" applyFill="1" applyBorder="1" applyAlignment="1">
      <alignment horizontal="right"/>
    </xf>
  </cellXfs>
  <cellStyles count="5">
    <cellStyle name=" Task]_x000d__x000a_TaskName=Scan At_x000d__x000a_TaskID=3_x000d__x000a_WorkstationName=SmarTone_x000d__x000a_LastExecuted=0_x000d__x000a_LastSt" xfId="1"/>
    <cellStyle name="Normal" xfId="0" builtinId="0"/>
    <cellStyle name="Normal_Plan1" xfId="2"/>
    <cellStyle name="Normal_Plan1_dnt_modelo_v2" xfId="3"/>
    <cellStyle name="Normal_Plan2" xfId="4"/>
  </cellStyles>
  <dxfs count="2"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U$4" fmlaRange="Antenas!$B$1:$C$47" sel="43" val="39"/>
</file>

<file path=xl/ctrlProps/ctrlProp2.xml><?xml version="1.0" encoding="utf-8"?>
<formControlPr xmlns="http://schemas.microsoft.com/office/spreadsheetml/2009/9/main" objectType="Spin" dx="15" fmlaLink="$N$4" max="30000" page="10" val="4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23</xdr:row>
      <xdr:rowOff>114300</xdr:rowOff>
    </xdr:from>
    <xdr:to>
      <xdr:col>18</xdr:col>
      <xdr:colOff>485775</xdr:colOff>
      <xdr:row>24</xdr:row>
      <xdr:rowOff>0</xdr:rowOff>
    </xdr:to>
    <xdr:sp macro="" textlink="">
      <xdr:nvSpPr>
        <xdr:cNvPr id="1539" name="Line 2"/>
        <xdr:cNvSpPr>
          <a:spLocks noChangeShapeType="1"/>
        </xdr:cNvSpPr>
      </xdr:nvSpPr>
      <xdr:spPr bwMode="auto">
        <a:xfrm flipV="1">
          <a:off x="38100" y="4257675"/>
          <a:ext cx="9210675" cy="9525"/>
        </a:xfrm>
        <a:prstGeom prst="line">
          <a:avLst/>
        </a:prstGeom>
        <a:noFill/>
        <a:ln w="38100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</xdr:col>
      <xdr:colOff>323850</xdr:colOff>
      <xdr:row>2</xdr:row>
      <xdr:rowOff>47625</xdr:rowOff>
    </xdr:from>
    <xdr:to>
      <xdr:col>3</xdr:col>
      <xdr:colOff>276225</xdr:colOff>
      <xdr:row>23</xdr:row>
      <xdr:rowOff>142875</xdr:rowOff>
    </xdr:to>
    <xdr:grpSp>
      <xdr:nvGrpSpPr>
        <xdr:cNvPr id="1540" name="Group 15"/>
        <xdr:cNvGrpSpPr>
          <a:grpSpLocks/>
        </xdr:cNvGrpSpPr>
      </xdr:nvGrpSpPr>
      <xdr:grpSpPr bwMode="auto">
        <a:xfrm>
          <a:off x="1388409" y="451037"/>
          <a:ext cx="557492" cy="3942229"/>
          <a:chOff x="98" y="31"/>
          <a:chExt cx="59" cy="426"/>
        </a:xfrm>
      </xdr:grpSpPr>
      <xdr:sp macro="" textlink="">
        <xdr:nvSpPr>
          <xdr:cNvPr id="1568" name="Line 3"/>
          <xdr:cNvSpPr>
            <a:spLocks noChangeShapeType="1"/>
          </xdr:cNvSpPr>
        </xdr:nvSpPr>
        <xdr:spPr bwMode="auto">
          <a:xfrm flipV="1">
            <a:off x="98" y="31"/>
            <a:ext cx="30" cy="426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69" name="Line 4"/>
          <xdr:cNvSpPr>
            <a:spLocks noChangeShapeType="1"/>
          </xdr:cNvSpPr>
        </xdr:nvSpPr>
        <xdr:spPr bwMode="auto">
          <a:xfrm flipH="1" flipV="1">
            <a:off x="129" y="31"/>
            <a:ext cx="27" cy="426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0" name="Line 5"/>
          <xdr:cNvSpPr>
            <a:spLocks noChangeShapeType="1"/>
          </xdr:cNvSpPr>
        </xdr:nvSpPr>
        <xdr:spPr bwMode="auto">
          <a:xfrm flipV="1">
            <a:off x="98" y="373"/>
            <a:ext cx="52" cy="8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1" name="Line 6"/>
          <xdr:cNvSpPr>
            <a:spLocks noChangeShapeType="1"/>
          </xdr:cNvSpPr>
        </xdr:nvSpPr>
        <xdr:spPr bwMode="auto">
          <a:xfrm flipH="1" flipV="1">
            <a:off x="105" y="376"/>
            <a:ext cx="52" cy="8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2" name="Line 7"/>
          <xdr:cNvSpPr>
            <a:spLocks noChangeShapeType="1"/>
          </xdr:cNvSpPr>
        </xdr:nvSpPr>
        <xdr:spPr bwMode="auto">
          <a:xfrm flipV="1">
            <a:off x="105" y="289"/>
            <a:ext cx="40" cy="86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3" name="Line 8"/>
          <xdr:cNvSpPr>
            <a:spLocks noChangeShapeType="1"/>
          </xdr:cNvSpPr>
        </xdr:nvSpPr>
        <xdr:spPr bwMode="auto">
          <a:xfrm flipH="1" flipV="1">
            <a:off x="116" y="220"/>
            <a:ext cx="30" cy="69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4" name="Line 9"/>
          <xdr:cNvSpPr>
            <a:spLocks noChangeShapeType="1"/>
          </xdr:cNvSpPr>
        </xdr:nvSpPr>
        <xdr:spPr bwMode="auto">
          <a:xfrm flipV="1">
            <a:off x="116" y="152"/>
            <a:ext cx="21" cy="67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5" name="Line 10"/>
          <xdr:cNvSpPr>
            <a:spLocks noChangeShapeType="1"/>
          </xdr:cNvSpPr>
        </xdr:nvSpPr>
        <xdr:spPr bwMode="auto">
          <a:xfrm flipH="1" flipV="1">
            <a:off x="125" y="86"/>
            <a:ext cx="11" cy="65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6" name="Line 11"/>
          <xdr:cNvSpPr>
            <a:spLocks noChangeShapeType="1"/>
          </xdr:cNvSpPr>
        </xdr:nvSpPr>
        <xdr:spPr bwMode="auto">
          <a:xfrm flipH="1" flipV="1">
            <a:off x="111" y="289"/>
            <a:ext cx="39" cy="8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7" name="Line 12"/>
          <xdr:cNvSpPr>
            <a:spLocks noChangeShapeType="1"/>
          </xdr:cNvSpPr>
        </xdr:nvSpPr>
        <xdr:spPr bwMode="auto">
          <a:xfrm flipV="1">
            <a:off x="111" y="219"/>
            <a:ext cx="30" cy="69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8" name="Line 13"/>
          <xdr:cNvSpPr>
            <a:spLocks noChangeShapeType="1"/>
          </xdr:cNvSpPr>
        </xdr:nvSpPr>
        <xdr:spPr bwMode="auto">
          <a:xfrm flipH="1" flipV="1">
            <a:off x="119" y="154"/>
            <a:ext cx="22" cy="67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9" name="Line 14"/>
          <xdr:cNvSpPr>
            <a:spLocks noChangeShapeType="1"/>
          </xdr:cNvSpPr>
        </xdr:nvSpPr>
        <xdr:spPr bwMode="auto">
          <a:xfrm flipV="1">
            <a:off x="120" y="86"/>
            <a:ext cx="13" cy="65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47625</xdr:colOff>
      <xdr:row>2</xdr:row>
      <xdr:rowOff>19050</xdr:rowOff>
    </xdr:from>
    <xdr:to>
      <xdr:col>2</xdr:col>
      <xdr:colOff>47625</xdr:colOff>
      <xdr:row>23</xdr:row>
      <xdr:rowOff>142875</xdr:rowOff>
    </xdr:to>
    <xdr:sp macro="" textlink="">
      <xdr:nvSpPr>
        <xdr:cNvPr id="1541" name="Line 16"/>
        <xdr:cNvSpPr>
          <a:spLocks noChangeShapeType="1"/>
        </xdr:cNvSpPr>
      </xdr:nvSpPr>
      <xdr:spPr bwMode="auto">
        <a:xfrm flipV="1">
          <a:off x="1104900" y="419100"/>
          <a:ext cx="0" cy="38481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3</xdr:col>
      <xdr:colOff>9525</xdr:colOff>
      <xdr:row>0</xdr:row>
      <xdr:rowOff>142875</xdr:rowOff>
    </xdr:from>
    <xdr:to>
      <xdr:col>3</xdr:col>
      <xdr:colOff>247650</xdr:colOff>
      <xdr:row>3</xdr:row>
      <xdr:rowOff>152400</xdr:rowOff>
    </xdr:to>
    <xdr:grpSp>
      <xdr:nvGrpSpPr>
        <xdr:cNvPr id="1542" name="Group 22"/>
        <xdr:cNvGrpSpPr>
          <a:grpSpLocks/>
        </xdr:cNvGrpSpPr>
      </xdr:nvGrpSpPr>
      <xdr:grpSpPr bwMode="auto">
        <a:xfrm>
          <a:off x="1679201" y="142875"/>
          <a:ext cx="238125" cy="614643"/>
          <a:chOff x="130" y="9"/>
          <a:chExt cx="25" cy="52"/>
        </a:xfrm>
      </xdr:grpSpPr>
      <xdr:sp macro="" textlink="">
        <xdr:nvSpPr>
          <xdr:cNvPr id="1563" name="Line 17"/>
          <xdr:cNvSpPr>
            <a:spLocks noChangeShapeType="1"/>
          </xdr:cNvSpPr>
        </xdr:nvSpPr>
        <xdr:spPr bwMode="auto">
          <a:xfrm>
            <a:off x="130" y="34"/>
            <a:ext cx="20" cy="0"/>
          </a:xfrm>
          <a:prstGeom prst="line">
            <a:avLst/>
          </a:prstGeom>
          <a:noFill/>
          <a:ln w="1905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564" name="Line 18"/>
          <xdr:cNvSpPr>
            <a:spLocks noChangeShapeType="1"/>
          </xdr:cNvSpPr>
        </xdr:nvSpPr>
        <xdr:spPr bwMode="auto">
          <a:xfrm flipV="1">
            <a:off x="150" y="9"/>
            <a:ext cx="0" cy="51"/>
          </a:xfrm>
          <a:prstGeom prst="line">
            <a:avLst/>
          </a:prstGeom>
          <a:noFill/>
          <a:ln w="1905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565" name="Line 19"/>
          <xdr:cNvSpPr>
            <a:spLocks noChangeShapeType="1"/>
          </xdr:cNvSpPr>
        </xdr:nvSpPr>
        <xdr:spPr bwMode="auto">
          <a:xfrm>
            <a:off x="155" y="12"/>
            <a:ext cx="0" cy="42"/>
          </a:xfrm>
          <a:prstGeom prst="line">
            <a:avLst/>
          </a:prstGeom>
          <a:noFill/>
          <a:ln w="1905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566" name="Line 20"/>
          <xdr:cNvSpPr>
            <a:spLocks noChangeShapeType="1"/>
          </xdr:cNvSpPr>
        </xdr:nvSpPr>
        <xdr:spPr bwMode="auto">
          <a:xfrm flipH="1">
            <a:off x="150" y="54"/>
            <a:ext cx="5" cy="7"/>
          </a:xfrm>
          <a:prstGeom prst="line">
            <a:avLst/>
          </a:prstGeom>
          <a:noFill/>
          <a:ln w="1905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567" name="Line 21"/>
          <xdr:cNvSpPr>
            <a:spLocks noChangeShapeType="1"/>
          </xdr:cNvSpPr>
        </xdr:nvSpPr>
        <xdr:spPr bwMode="auto">
          <a:xfrm flipH="1" flipV="1">
            <a:off x="150" y="9"/>
            <a:ext cx="5" cy="4"/>
          </a:xfrm>
          <a:prstGeom prst="line">
            <a:avLst/>
          </a:prstGeom>
          <a:noFill/>
          <a:ln w="19050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  <xdr:twoCellAnchor>
    <xdr:from>
      <xdr:col>3</xdr:col>
      <xdr:colOff>266700</xdr:colOff>
      <xdr:row>2</xdr:row>
      <xdr:rowOff>76200</xdr:rowOff>
    </xdr:from>
    <xdr:to>
      <xdr:col>7</xdr:col>
      <xdr:colOff>361950</xdr:colOff>
      <xdr:row>23</xdr:row>
      <xdr:rowOff>104775</xdr:rowOff>
    </xdr:to>
    <xdr:sp macro="" textlink="">
      <xdr:nvSpPr>
        <xdr:cNvPr id="1543" name="Line 23"/>
        <xdr:cNvSpPr>
          <a:spLocks noChangeShapeType="1"/>
        </xdr:cNvSpPr>
      </xdr:nvSpPr>
      <xdr:spPr bwMode="auto">
        <a:xfrm>
          <a:off x="1933575" y="476250"/>
          <a:ext cx="2505075" cy="3771900"/>
        </a:xfrm>
        <a:prstGeom prst="line">
          <a:avLst/>
        </a:prstGeom>
        <a:noFill/>
        <a:ln w="19050">
          <a:solidFill>
            <a:srgbClr val="808080"/>
          </a:solidFill>
          <a:round/>
          <a:headEnd/>
          <a:tailEnd/>
        </a:ln>
      </xdr:spPr>
    </xdr:sp>
    <xdr:clientData/>
  </xdr:twoCellAnchor>
  <xdr:twoCellAnchor>
    <xdr:from>
      <xdr:col>3</xdr:col>
      <xdr:colOff>152400</xdr:colOff>
      <xdr:row>2</xdr:row>
      <xdr:rowOff>28575</xdr:rowOff>
    </xdr:from>
    <xdr:to>
      <xdr:col>10</xdr:col>
      <xdr:colOff>400050</xdr:colOff>
      <xdr:row>23</xdr:row>
      <xdr:rowOff>95250</xdr:rowOff>
    </xdr:to>
    <xdr:sp macro="" textlink="">
      <xdr:nvSpPr>
        <xdr:cNvPr id="1544" name="Line 24"/>
        <xdr:cNvSpPr>
          <a:spLocks noChangeShapeType="1"/>
        </xdr:cNvSpPr>
      </xdr:nvSpPr>
      <xdr:spPr bwMode="auto">
        <a:xfrm>
          <a:off x="1819275" y="428625"/>
          <a:ext cx="4486275" cy="3810000"/>
        </a:xfrm>
        <a:prstGeom prst="line">
          <a:avLst/>
        </a:prstGeom>
        <a:noFill/>
        <a:ln w="19050">
          <a:solidFill>
            <a:srgbClr val="FF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247650</xdr:colOff>
      <xdr:row>2</xdr:row>
      <xdr:rowOff>47625</xdr:rowOff>
    </xdr:from>
    <xdr:to>
      <xdr:col>14</xdr:col>
      <xdr:colOff>304800</xdr:colOff>
      <xdr:row>23</xdr:row>
      <xdr:rowOff>104775</xdr:rowOff>
    </xdr:to>
    <xdr:sp macro="" textlink="">
      <xdr:nvSpPr>
        <xdr:cNvPr id="1545" name="Line 25"/>
        <xdr:cNvSpPr>
          <a:spLocks noChangeShapeType="1"/>
        </xdr:cNvSpPr>
      </xdr:nvSpPr>
      <xdr:spPr bwMode="auto">
        <a:xfrm>
          <a:off x="1914525" y="447675"/>
          <a:ext cx="6610350" cy="3800475"/>
        </a:xfrm>
        <a:prstGeom prst="line">
          <a:avLst/>
        </a:prstGeom>
        <a:noFill/>
        <a:ln w="19050">
          <a:solidFill>
            <a:srgbClr val="808080"/>
          </a:solidFill>
          <a:round/>
          <a:headEnd/>
          <a:tailEnd/>
        </a:ln>
      </xdr:spPr>
    </xdr:sp>
    <xdr:clientData/>
  </xdr:twoCellAnchor>
  <xdr:twoCellAnchor>
    <xdr:from>
      <xdr:col>3</xdr:col>
      <xdr:colOff>590550</xdr:colOff>
      <xdr:row>2</xdr:row>
      <xdr:rowOff>152400</xdr:rowOff>
    </xdr:from>
    <xdr:to>
      <xdr:col>5</xdr:col>
      <xdr:colOff>485775</xdr:colOff>
      <xdr:row>9</xdr:row>
      <xdr:rowOff>57150</xdr:rowOff>
    </xdr:to>
    <xdr:sp macro="" textlink="">
      <xdr:nvSpPr>
        <xdr:cNvPr id="1546" name="Arc 27"/>
        <xdr:cNvSpPr>
          <a:spLocks/>
        </xdr:cNvSpPr>
      </xdr:nvSpPr>
      <xdr:spPr bwMode="auto">
        <a:xfrm flipH="1">
          <a:off x="2257425" y="552450"/>
          <a:ext cx="1114425" cy="1304925"/>
        </a:xfrm>
        <a:custGeom>
          <a:avLst/>
          <a:gdLst>
            <a:gd name="T0" fmla="*/ 2147483647 w 19111"/>
            <a:gd name="T1" fmla="*/ 2147483647 h 18832"/>
            <a:gd name="T2" fmla="*/ 0 w 19111"/>
            <a:gd name="T3" fmla="*/ 2147483647 h 18832"/>
            <a:gd name="T4" fmla="*/ 2147483647 w 19111"/>
            <a:gd name="T5" fmla="*/ 0 h 18832"/>
            <a:gd name="T6" fmla="*/ 0 60000 65536"/>
            <a:gd name="T7" fmla="*/ 0 60000 65536"/>
            <a:gd name="T8" fmla="*/ 0 60000 65536"/>
            <a:gd name="T9" fmla="*/ 0 w 19111"/>
            <a:gd name="T10" fmla="*/ 0 h 18832"/>
            <a:gd name="T11" fmla="*/ 19111 w 19111"/>
            <a:gd name="T12" fmla="*/ 18832 h 1883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9111" h="18832" fill="none" extrusionOk="0">
              <a:moveTo>
                <a:pt x="8532" y="18832"/>
              </a:moveTo>
              <a:cubicBezTo>
                <a:pt x="4902" y="16793"/>
                <a:pt x="1939" y="13748"/>
                <a:pt x="-1" y="10065"/>
              </a:cubicBezTo>
            </a:path>
            <a:path w="19111" h="18832" stroke="0" extrusionOk="0">
              <a:moveTo>
                <a:pt x="8532" y="18832"/>
              </a:moveTo>
              <a:cubicBezTo>
                <a:pt x="4902" y="16793"/>
                <a:pt x="1939" y="13748"/>
                <a:pt x="-1" y="10065"/>
              </a:cubicBezTo>
              <a:lnTo>
                <a:pt x="19111" y="0"/>
              </a:lnTo>
              <a:close/>
            </a:path>
          </a:pathLst>
        </a:cu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2</xdr:row>
      <xdr:rowOff>38100</xdr:rowOff>
    </xdr:from>
    <xdr:to>
      <xdr:col>5</xdr:col>
      <xdr:colOff>409575</xdr:colOff>
      <xdr:row>8</xdr:row>
      <xdr:rowOff>38100</xdr:rowOff>
    </xdr:to>
    <xdr:sp macro="" textlink="">
      <xdr:nvSpPr>
        <xdr:cNvPr id="1547" name="Arc 29"/>
        <xdr:cNvSpPr>
          <a:spLocks/>
        </xdr:cNvSpPr>
      </xdr:nvSpPr>
      <xdr:spPr bwMode="auto">
        <a:xfrm flipH="1">
          <a:off x="2133600" y="438150"/>
          <a:ext cx="1162050" cy="1200150"/>
        </a:xfrm>
        <a:custGeom>
          <a:avLst/>
          <a:gdLst>
            <a:gd name="T0" fmla="*/ 2147483647 w 21599"/>
            <a:gd name="T1" fmla="*/ 2147483647 h 18066"/>
            <a:gd name="T2" fmla="*/ 0 w 21599"/>
            <a:gd name="T3" fmla="*/ 2147483647 h 18066"/>
            <a:gd name="T4" fmla="*/ 2147483647 w 21599"/>
            <a:gd name="T5" fmla="*/ 0 h 18066"/>
            <a:gd name="T6" fmla="*/ 0 60000 65536"/>
            <a:gd name="T7" fmla="*/ 0 60000 65536"/>
            <a:gd name="T8" fmla="*/ 0 60000 65536"/>
            <a:gd name="T9" fmla="*/ 0 w 21599"/>
            <a:gd name="T10" fmla="*/ 0 h 18066"/>
            <a:gd name="T11" fmla="*/ 21599 w 21599"/>
            <a:gd name="T12" fmla="*/ 18066 h 1806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599" h="18066" fill="none" extrusionOk="0">
              <a:moveTo>
                <a:pt x="9759" y="18066"/>
              </a:moveTo>
              <a:cubicBezTo>
                <a:pt x="3720" y="14108"/>
                <a:pt x="58" y="7395"/>
                <a:pt x="-1" y="176"/>
              </a:cubicBezTo>
            </a:path>
            <a:path w="21599" h="18066" stroke="0" extrusionOk="0">
              <a:moveTo>
                <a:pt x="9759" y="18066"/>
              </a:moveTo>
              <a:cubicBezTo>
                <a:pt x="3720" y="14108"/>
                <a:pt x="58" y="7395"/>
                <a:pt x="-1" y="176"/>
              </a:cubicBezTo>
              <a:lnTo>
                <a:pt x="21599" y="0"/>
              </a:lnTo>
              <a:close/>
            </a:path>
          </a:pathLst>
        </a:cu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1</xdr:row>
      <xdr:rowOff>19050</xdr:rowOff>
    </xdr:from>
    <xdr:to>
      <xdr:col>5</xdr:col>
      <xdr:colOff>219075</xdr:colOff>
      <xdr:row>6</xdr:row>
      <xdr:rowOff>28575</xdr:rowOff>
    </xdr:to>
    <xdr:sp macro="" textlink="">
      <xdr:nvSpPr>
        <xdr:cNvPr id="1548" name="Arc 31"/>
        <xdr:cNvSpPr>
          <a:spLocks/>
        </xdr:cNvSpPr>
      </xdr:nvSpPr>
      <xdr:spPr bwMode="auto">
        <a:xfrm flipH="1">
          <a:off x="2638425" y="219075"/>
          <a:ext cx="466725" cy="1009650"/>
        </a:xfrm>
        <a:custGeom>
          <a:avLst/>
          <a:gdLst>
            <a:gd name="T0" fmla="*/ 2147483647 w 21128"/>
            <a:gd name="T1" fmla="*/ 2147483647 h 19171"/>
            <a:gd name="T2" fmla="*/ 0 w 21128"/>
            <a:gd name="T3" fmla="*/ 2147483647 h 19171"/>
            <a:gd name="T4" fmla="*/ 2147483647 w 21128"/>
            <a:gd name="T5" fmla="*/ 0 h 19171"/>
            <a:gd name="T6" fmla="*/ 0 60000 65536"/>
            <a:gd name="T7" fmla="*/ 0 60000 65536"/>
            <a:gd name="T8" fmla="*/ 0 60000 65536"/>
            <a:gd name="T9" fmla="*/ 0 w 21128"/>
            <a:gd name="T10" fmla="*/ 0 h 19171"/>
            <a:gd name="T11" fmla="*/ 21128 w 21128"/>
            <a:gd name="T12" fmla="*/ 19171 h 1917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128" h="19171" fill="none" extrusionOk="0">
              <a:moveTo>
                <a:pt x="11176" y="19170"/>
              </a:moveTo>
              <a:cubicBezTo>
                <a:pt x="5443" y="16194"/>
                <a:pt x="1343" y="10809"/>
                <a:pt x="0" y="4491"/>
              </a:cubicBezTo>
            </a:path>
            <a:path w="21128" h="19171" stroke="0" extrusionOk="0">
              <a:moveTo>
                <a:pt x="11176" y="19170"/>
              </a:moveTo>
              <a:cubicBezTo>
                <a:pt x="5443" y="16194"/>
                <a:pt x="1343" y="10809"/>
                <a:pt x="0" y="4491"/>
              </a:cubicBezTo>
              <a:lnTo>
                <a:pt x="21128" y="0"/>
              </a:lnTo>
              <a:close/>
            </a:path>
          </a:pathLst>
        </a:cu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38100</xdr:colOff>
      <xdr:row>24</xdr:row>
      <xdr:rowOff>114300</xdr:rowOff>
    </xdr:from>
    <xdr:to>
      <xdr:col>6</xdr:col>
      <xdr:colOff>457200</xdr:colOff>
      <xdr:row>24</xdr:row>
      <xdr:rowOff>133350</xdr:rowOff>
    </xdr:to>
    <xdr:sp macro="" textlink="">
      <xdr:nvSpPr>
        <xdr:cNvPr id="1549" name="Line 34"/>
        <xdr:cNvSpPr>
          <a:spLocks noChangeShapeType="1"/>
        </xdr:cNvSpPr>
      </xdr:nvSpPr>
      <xdr:spPr bwMode="auto">
        <a:xfrm flipV="1">
          <a:off x="3505200" y="4381500"/>
          <a:ext cx="419100" cy="190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38100</xdr:colOff>
      <xdr:row>25</xdr:row>
      <xdr:rowOff>123825</xdr:rowOff>
    </xdr:from>
    <xdr:to>
      <xdr:col>9</xdr:col>
      <xdr:colOff>457200</xdr:colOff>
      <xdr:row>25</xdr:row>
      <xdr:rowOff>123825</xdr:rowOff>
    </xdr:to>
    <xdr:sp macro="" textlink="">
      <xdr:nvSpPr>
        <xdr:cNvPr id="1550" name="Line 35"/>
        <xdr:cNvSpPr>
          <a:spLocks noChangeShapeType="1"/>
        </xdr:cNvSpPr>
      </xdr:nvSpPr>
      <xdr:spPr bwMode="auto">
        <a:xfrm>
          <a:off x="3505200" y="4600575"/>
          <a:ext cx="22479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66675</xdr:colOff>
      <xdr:row>26</xdr:row>
      <xdr:rowOff>123825</xdr:rowOff>
    </xdr:from>
    <xdr:to>
      <xdr:col>13</xdr:col>
      <xdr:colOff>523875</xdr:colOff>
      <xdr:row>26</xdr:row>
      <xdr:rowOff>123825</xdr:rowOff>
    </xdr:to>
    <xdr:sp macro="" textlink="">
      <xdr:nvSpPr>
        <xdr:cNvPr id="1551" name="Line 36"/>
        <xdr:cNvSpPr>
          <a:spLocks noChangeShapeType="1"/>
        </xdr:cNvSpPr>
      </xdr:nvSpPr>
      <xdr:spPr bwMode="auto">
        <a:xfrm>
          <a:off x="3533775" y="4810125"/>
          <a:ext cx="466725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400050</xdr:colOff>
      <xdr:row>9</xdr:row>
      <xdr:rowOff>295275</xdr:rowOff>
    </xdr:from>
    <xdr:to>
      <xdr:col>1</xdr:col>
      <xdr:colOff>581025</xdr:colOff>
      <xdr:row>10</xdr:row>
      <xdr:rowOff>114300</xdr:rowOff>
    </xdr:to>
    <xdr:grpSp>
      <xdr:nvGrpSpPr>
        <xdr:cNvPr id="1552" name="Group 40"/>
        <xdr:cNvGrpSpPr>
          <a:grpSpLocks/>
        </xdr:cNvGrpSpPr>
      </xdr:nvGrpSpPr>
      <xdr:grpSpPr bwMode="auto">
        <a:xfrm>
          <a:off x="601756" y="2110628"/>
          <a:ext cx="180975" cy="233643"/>
          <a:chOff x="51" y="186"/>
          <a:chExt cx="19" cy="23"/>
        </a:xfrm>
      </xdr:grpSpPr>
      <xdr:sp macro="" textlink="">
        <xdr:nvSpPr>
          <xdr:cNvPr id="1561" name="Line 37"/>
          <xdr:cNvSpPr>
            <a:spLocks noChangeShapeType="1"/>
          </xdr:cNvSpPr>
        </xdr:nvSpPr>
        <xdr:spPr bwMode="auto">
          <a:xfrm>
            <a:off x="51" y="187"/>
            <a:ext cx="17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62" name="Line 38"/>
          <xdr:cNvSpPr>
            <a:spLocks noChangeShapeType="1"/>
          </xdr:cNvSpPr>
        </xdr:nvSpPr>
        <xdr:spPr bwMode="auto">
          <a:xfrm>
            <a:off x="69" y="186"/>
            <a:ext cx="1" cy="23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sm" len="sm"/>
          </a:ln>
        </xdr:spPr>
      </xdr:sp>
    </xdr:grpSp>
    <xdr:clientData/>
  </xdr:twoCellAnchor>
  <xdr:twoCellAnchor>
    <xdr:from>
      <xdr:col>5</xdr:col>
      <xdr:colOff>361950</xdr:colOff>
      <xdr:row>6</xdr:row>
      <xdr:rowOff>161925</xdr:rowOff>
    </xdr:from>
    <xdr:to>
      <xdr:col>9</xdr:col>
      <xdr:colOff>295275</xdr:colOff>
      <xdr:row>7</xdr:row>
      <xdr:rowOff>114300</xdr:rowOff>
    </xdr:to>
    <xdr:grpSp>
      <xdr:nvGrpSpPr>
        <xdr:cNvPr id="1553" name="Group 44"/>
        <xdr:cNvGrpSpPr>
          <a:grpSpLocks/>
        </xdr:cNvGrpSpPr>
      </xdr:nvGrpSpPr>
      <xdr:grpSpPr bwMode="auto">
        <a:xfrm>
          <a:off x="3241862" y="1372160"/>
          <a:ext cx="2331384" cy="154081"/>
          <a:chOff x="302" y="107"/>
          <a:chExt cx="71" cy="22"/>
        </a:xfrm>
      </xdr:grpSpPr>
      <xdr:sp macro="" textlink="">
        <xdr:nvSpPr>
          <xdr:cNvPr id="1559" name="Line 42"/>
          <xdr:cNvSpPr>
            <a:spLocks noChangeShapeType="1"/>
          </xdr:cNvSpPr>
        </xdr:nvSpPr>
        <xdr:spPr bwMode="auto">
          <a:xfrm>
            <a:off x="373" y="107"/>
            <a:ext cx="0" cy="2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60" name="Line 43"/>
          <xdr:cNvSpPr>
            <a:spLocks noChangeShapeType="1"/>
          </xdr:cNvSpPr>
        </xdr:nvSpPr>
        <xdr:spPr bwMode="auto">
          <a:xfrm flipH="1">
            <a:off x="302" y="129"/>
            <a:ext cx="71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 type="triangle" w="sm" len="med"/>
          </a:ln>
        </xdr:spPr>
      </xdr:sp>
    </xdr:grpSp>
    <xdr:clientData/>
  </xdr:twoCellAnchor>
  <xdr:twoCellAnchor>
    <xdr:from>
      <xdr:col>5</xdr:col>
      <xdr:colOff>161925</xdr:colOff>
      <xdr:row>4</xdr:row>
      <xdr:rowOff>76200</xdr:rowOff>
    </xdr:from>
    <xdr:to>
      <xdr:col>6</xdr:col>
      <xdr:colOff>571500</xdr:colOff>
      <xdr:row>4</xdr:row>
      <xdr:rowOff>76200</xdr:rowOff>
    </xdr:to>
    <xdr:sp macro="" textlink="">
      <xdr:nvSpPr>
        <xdr:cNvPr id="1554" name="Line 47"/>
        <xdr:cNvSpPr>
          <a:spLocks noChangeShapeType="1"/>
        </xdr:cNvSpPr>
      </xdr:nvSpPr>
      <xdr:spPr bwMode="auto">
        <a:xfrm flipH="1" flipV="1">
          <a:off x="3048000" y="876300"/>
          <a:ext cx="99060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257175</xdr:colOff>
      <xdr:row>2</xdr:row>
      <xdr:rowOff>38100</xdr:rowOff>
    </xdr:from>
    <xdr:to>
      <xdr:col>8</xdr:col>
      <xdr:colOff>504825</xdr:colOff>
      <xdr:row>2</xdr:row>
      <xdr:rowOff>47625</xdr:rowOff>
    </xdr:to>
    <xdr:sp macro="" textlink="">
      <xdr:nvSpPr>
        <xdr:cNvPr id="1555" name="Line 48"/>
        <xdr:cNvSpPr>
          <a:spLocks noChangeShapeType="1"/>
        </xdr:cNvSpPr>
      </xdr:nvSpPr>
      <xdr:spPr bwMode="auto">
        <a:xfrm flipV="1">
          <a:off x="1924050" y="438150"/>
          <a:ext cx="3267075" cy="9525"/>
        </a:xfrm>
        <a:prstGeom prst="line">
          <a:avLst/>
        </a:prstGeom>
        <a:noFill/>
        <a:ln w="38100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5</xdr:row>
      <xdr:rowOff>76200</xdr:rowOff>
    </xdr:from>
    <xdr:to>
      <xdr:col>7</xdr:col>
      <xdr:colOff>571500</xdr:colOff>
      <xdr:row>5</xdr:row>
      <xdr:rowOff>76200</xdr:rowOff>
    </xdr:to>
    <xdr:sp macro="" textlink="">
      <xdr:nvSpPr>
        <xdr:cNvPr id="1556" name="Line 51"/>
        <xdr:cNvSpPr>
          <a:spLocks noChangeShapeType="1"/>
        </xdr:cNvSpPr>
      </xdr:nvSpPr>
      <xdr:spPr bwMode="auto">
        <a:xfrm flipH="1" flipV="1">
          <a:off x="3171825" y="1076325"/>
          <a:ext cx="147637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219075</xdr:colOff>
      <xdr:row>2</xdr:row>
      <xdr:rowOff>66675</xdr:rowOff>
    </xdr:from>
    <xdr:to>
      <xdr:col>5</xdr:col>
      <xdr:colOff>28575</xdr:colOff>
      <xdr:row>4</xdr:row>
      <xdr:rowOff>114300</xdr:rowOff>
    </xdr:to>
    <xdr:sp macro="" textlink="">
      <xdr:nvSpPr>
        <xdr:cNvPr id="1557" name="Arc 53"/>
        <xdr:cNvSpPr>
          <a:spLocks/>
        </xdr:cNvSpPr>
      </xdr:nvSpPr>
      <xdr:spPr bwMode="auto">
        <a:xfrm flipH="1">
          <a:off x="2495550" y="466725"/>
          <a:ext cx="419100" cy="447675"/>
        </a:xfrm>
        <a:custGeom>
          <a:avLst/>
          <a:gdLst>
            <a:gd name="T0" fmla="*/ 2147483647 w 21600"/>
            <a:gd name="T1" fmla="*/ 2147483647 h 14813"/>
            <a:gd name="T2" fmla="*/ 2147483647 w 21600"/>
            <a:gd name="T3" fmla="*/ 0 h 14813"/>
            <a:gd name="T4" fmla="*/ 2147483647 w 21600"/>
            <a:gd name="T5" fmla="*/ 2147483647 h 14813"/>
            <a:gd name="T6" fmla="*/ 0 60000 65536"/>
            <a:gd name="T7" fmla="*/ 0 60000 65536"/>
            <a:gd name="T8" fmla="*/ 0 60000 65536"/>
            <a:gd name="T9" fmla="*/ 0 w 21600"/>
            <a:gd name="T10" fmla="*/ 0 h 14813"/>
            <a:gd name="T11" fmla="*/ 21600 w 21600"/>
            <a:gd name="T12" fmla="*/ 14813 h 1481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14813" fill="none" extrusionOk="0">
              <a:moveTo>
                <a:pt x="5312" y="14812"/>
              </a:moveTo>
              <a:cubicBezTo>
                <a:pt x="1886" y="10880"/>
                <a:pt x="0" y="5841"/>
                <a:pt x="0" y="626"/>
              </a:cubicBezTo>
              <a:cubicBezTo>
                <a:pt x="-1" y="417"/>
                <a:pt x="3" y="208"/>
                <a:pt x="9" y="0"/>
              </a:cubicBezTo>
            </a:path>
            <a:path w="21600" h="14813" stroke="0" extrusionOk="0">
              <a:moveTo>
                <a:pt x="5312" y="14812"/>
              </a:moveTo>
              <a:cubicBezTo>
                <a:pt x="1886" y="10880"/>
                <a:pt x="0" y="5841"/>
                <a:pt x="0" y="626"/>
              </a:cubicBezTo>
              <a:cubicBezTo>
                <a:pt x="-1" y="417"/>
                <a:pt x="3" y="208"/>
                <a:pt x="9" y="0"/>
              </a:cubicBezTo>
              <a:lnTo>
                <a:pt x="21600" y="626"/>
              </a:lnTo>
              <a:close/>
            </a:path>
          </a:pathLst>
        </a:cu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</xdr:colOff>
      <xdr:row>3</xdr:row>
      <xdr:rowOff>85725</xdr:rowOff>
    </xdr:from>
    <xdr:to>
      <xdr:col>5</xdr:col>
      <xdr:colOff>571500</xdr:colOff>
      <xdr:row>3</xdr:row>
      <xdr:rowOff>85725</xdr:rowOff>
    </xdr:to>
    <xdr:sp macro="" textlink="">
      <xdr:nvSpPr>
        <xdr:cNvPr id="1558" name="Line 56"/>
        <xdr:cNvSpPr>
          <a:spLocks noChangeShapeType="1"/>
        </xdr:cNvSpPr>
      </xdr:nvSpPr>
      <xdr:spPr bwMode="auto">
        <a:xfrm flipH="1">
          <a:off x="2924175" y="685800"/>
          <a:ext cx="53340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12</xdr:col>
      <xdr:colOff>33618</xdr:colOff>
      <xdr:row>14</xdr:row>
      <xdr:rowOff>112059</xdr:rowOff>
    </xdr:from>
    <xdr:to>
      <xdr:col>18</xdr:col>
      <xdr:colOff>44824</xdr:colOff>
      <xdr:row>16</xdr:row>
      <xdr:rowOff>22411</xdr:rowOff>
    </xdr:to>
    <xdr:sp macro="[0]!SavText" textlink="">
      <xdr:nvSpPr>
        <xdr:cNvPr id="43" name="Retângulo 42"/>
        <xdr:cNvSpPr/>
      </xdr:nvSpPr>
      <xdr:spPr bwMode="auto">
        <a:xfrm>
          <a:off x="7082118" y="2958353"/>
          <a:ext cx="1848971" cy="224117"/>
        </a:xfrm>
        <a:prstGeom prst="rect">
          <a:avLst/>
        </a:prstGeom>
        <a:solidFill>
          <a:srgbClr val="FFFF00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/>
            <a:t>KML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82" name="Drop Down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3</xdr:row>
          <xdr:rowOff>0</xdr:rowOff>
        </xdr:from>
        <xdr:to>
          <xdr:col>13</xdr:col>
          <xdr:colOff>561975</xdr:colOff>
          <xdr:row>4</xdr:row>
          <xdr:rowOff>0</xdr:rowOff>
        </xdr:to>
        <xdr:sp macro="" textlink="">
          <xdr:nvSpPr>
            <xdr:cNvPr id="1083" name="Spinner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U28"/>
  <sheetViews>
    <sheetView tabSelected="1" zoomScale="85" zoomScaleNormal="85" workbookViewId="0">
      <pane xSplit="19" ySplit="27" topLeftCell="T28" activePane="bottomRight" state="frozen"/>
      <selection pane="topRight" activeCell="Q1" sqref="Q1"/>
      <selection pane="bottomLeft" activeCell="A28" sqref="A28"/>
      <selection pane="bottomRight" activeCell="V9" sqref="V9"/>
    </sheetView>
  </sheetViews>
  <sheetFormatPr defaultRowHeight="12.75" x14ac:dyDescent="0.2"/>
  <cols>
    <col min="1" max="1" width="3" customWidth="1"/>
    <col min="2" max="2" width="12.85546875" style="2" customWidth="1"/>
    <col min="6" max="6" width="8.7109375" customWidth="1"/>
    <col min="11" max="12" width="8.7109375" customWidth="1"/>
    <col min="13" max="13" width="14.140625" customWidth="1"/>
    <col min="14" max="15" width="8.140625" customWidth="1"/>
    <col min="16" max="18" width="12.5703125" customWidth="1"/>
    <col min="19" max="19" width="8.7109375" bestFit="1" customWidth="1"/>
    <col min="20" max="20" width="8.42578125" customWidth="1"/>
    <col min="21" max="21" width="9.85546875" hidden="1" customWidth="1"/>
  </cols>
  <sheetData>
    <row r="1" spans="1:21" ht="15.75" customHeight="1" thickTop="1" thickBot="1" x14ac:dyDescent="0.25">
      <c r="A1" s="13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1"/>
    </row>
    <row r="2" spans="1:21" ht="15.75" customHeight="1" thickBot="1" x14ac:dyDescent="0.25">
      <c r="A2" s="14"/>
      <c r="B2" s="18"/>
      <c r="C2" s="18"/>
      <c r="D2" s="18"/>
      <c r="E2" s="18"/>
      <c r="F2" s="68" t="s">
        <v>6</v>
      </c>
      <c r="G2" s="69"/>
      <c r="H2" s="70"/>
      <c r="I2" s="18"/>
      <c r="J2" s="75" t="s">
        <v>4</v>
      </c>
      <c r="K2" s="75"/>
      <c r="L2" s="75"/>
      <c r="M2" s="75"/>
      <c r="N2" s="5">
        <v>18</v>
      </c>
      <c r="O2" s="4" t="s">
        <v>2</v>
      </c>
      <c r="P2" s="51"/>
      <c r="Q2" s="51"/>
      <c r="R2" s="51"/>
      <c r="S2" s="22"/>
      <c r="U2">
        <f>IF($N$4-$N$3/2=0,-1,$N$4-$N$3/2)</f>
        <v>0.79999999999999982</v>
      </c>
    </row>
    <row r="3" spans="1:21" ht="15.75" customHeight="1" thickBot="1" x14ac:dyDescent="0.25">
      <c r="A3" s="14"/>
      <c r="B3" s="18"/>
      <c r="C3" s="18"/>
      <c r="D3" s="18"/>
      <c r="E3" s="18"/>
      <c r="F3" s="18"/>
      <c r="G3" s="18"/>
      <c r="H3" s="18"/>
      <c r="I3" s="18"/>
      <c r="J3" s="75" t="s">
        <v>3</v>
      </c>
      <c r="K3" s="75"/>
      <c r="L3" s="75"/>
      <c r="M3" s="75"/>
      <c r="N3" s="5">
        <v>6.4</v>
      </c>
      <c r="O3" s="4" t="s">
        <v>5</v>
      </c>
      <c r="P3" s="51"/>
      <c r="Q3" s="51"/>
      <c r="R3" s="51"/>
      <c r="S3" s="22"/>
      <c r="U3">
        <f>$N$4+$N$3/2</f>
        <v>7.2</v>
      </c>
    </row>
    <row r="4" spans="1:21" ht="15.75" customHeight="1" thickBot="1" x14ac:dyDescent="0.25">
      <c r="A4" s="14"/>
      <c r="B4" s="18"/>
      <c r="C4" s="18"/>
      <c r="D4" s="18"/>
      <c r="E4" s="18"/>
      <c r="F4" s="18"/>
      <c r="G4" s="26" t="str">
        <f>($N$4-$N$3/2)&amp;" °"</f>
        <v>0.8 °</v>
      </c>
      <c r="H4" s="18"/>
      <c r="I4" s="18"/>
      <c r="J4" s="75" t="s">
        <v>8</v>
      </c>
      <c r="K4" s="75"/>
      <c r="L4" s="75"/>
      <c r="M4" s="75"/>
      <c r="N4" s="5">
        <v>4</v>
      </c>
      <c r="O4" s="4" t="s">
        <v>5</v>
      </c>
      <c r="P4" s="51"/>
      <c r="Q4" s="51"/>
      <c r="R4" s="51"/>
      <c r="S4" s="22"/>
      <c r="U4">
        <v>43</v>
      </c>
    </row>
    <row r="5" spans="1:21" ht="15.75" customHeight="1" thickBot="1" x14ac:dyDescent="0.25">
      <c r="A5" s="14"/>
      <c r="B5" s="18"/>
      <c r="C5" s="18"/>
      <c r="D5" s="18"/>
      <c r="E5" s="18"/>
      <c r="F5" s="18"/>
      <c r="G5" s="18"/>
      <c r="H5" s="26" t="str">
        <f>CONCATENATE($N$4," °")</f>
        <v>4 °</v>
      </c>
      <c r="I5" s="18"/>
      <c r="J5" s="62" t="s">
        <v>11</v>
      </c>
      <c r="K5" s="63"/>
      <c r="L5" s="63"/>
      <c r="M5" s="64"/>
      <c r="N5" s="29"/>
      <c r="O5" s="30"/>
      <c r="P5" s="18"/>
      <c r="Q5" s="18"/>
      <c r="R5" s="18"/>
      <c r="S5" s="22"/>
    </row>
    <row r="6" spans="1:21" ht="15.75" customHeight="1" thickBot="1" x14ac:dyDescent="0.25">
      <c r="A6" s="14"/>
      <c r="B6" s="18"/>
      <c r="C6" s="18"/>
      <c r="D6" s="18"/>
      <c r="E6" s="18"/>
      <c r="F6" s="18"/>
      <c r="G6" s="18"/>
      <c r="H6" s="18"/>
      <c r="I6" s="26" t="str">
        <f>($N$4+$N$3/2)&amp;" °"</f>
        <v>7.2 °</v>
      </c>
      <c r="J6" s="18"/>
      <c r="K6" s="18"/>
      <c r="L6" s="18"/>
      <c r="M6" s="18"/>
      <c r="N6" s="18"/>
      <c r="O6" s="18"/>
      <c r="P6" s="18"/>
      <c r="Q6" s="18"/>
      <c r="R6" s="18"/>
      <c r="S6" s="22"/>
    </row>
    <row r="7" spans="1:21" ht="15.75" customHeight="1" thickBot="1" x14ac:dyDescent="0.25">
      <c r="A7" s="14"/>
      <c r="B7" s="18"/>
      <c r="C7" s="18"/>
      <c r="D7" s="18"/>
      <c r="E7" s="18"/>
      <c r="F7" s="18"/>
      <c r="G7" s="18"/>
      <c r="H7" s="18"/>
      <c r="I7" s="18"/>
      <c r="J7" s="27" t="str">
        <f>$N$3&amp;".0 °"</f>
        <v>6.4.0 °</v>
      </c>
      <c r="K7" s="18"/>
      <c r="L7" s="18"/>
      <c r="M7" s="50" t="s">
        <v>61</v>
      </c>
      <c r="N7" s="65">
        <v>-6.4067639999999999</v>
      </c>
      <c r="O7" s="57"/>
      <c r="P7" s="18"/>
      <c r="Q7" s="18"/>
      <c r="R7" s="18"/>
      <c r="S7" s="22"/>
    </row>
    <row r="8" spans="1:21" ht="15.75" customHeight="1" thickBot="1" x14ac:dyDescent="0.25">
      <c r="A8" s="14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50" t="s">
        <v>62</v>
      </c>
      <c r="N8" s="65">
        <v>-50.332296999999997</v>
      </c>
      <c r="O8" s="57"/>
      <c r="P8" s="18"/>
      <c r="Q8" s="18"/>
      <c r="R8" s="18"/>
      <c r="S8" s="22"/>
    </row>
    <row r="9" spans="1:21" ht="15.75" customHeight="1" thickBot="1" x14ac:dyDescent="0.25">
      <c r="A9" s="14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50" t="s">
        <v>63</v>
      </c>
      <c r="N9" s="56">
        <v>892</v>
      </c>
      <c r="O9" s="57"/>
      <c r="P9" s="18"/>
      <c r="Q9" s="18"/>
      <c r="R9" s="18"/>
      <c r="S9" s="22"/>
    </row>
    <row r="10" spans="1:21" ht="32.25" thickBot="1" x14ac:dyDescent="0.25">
      <c r="A10" s="14"/>
      <c r="B10" s="31" t="s">
        <v>1</v>
      </c>
      <c r="C10" s="18"/>
      <c r="D10" s="18"/>
      <c r="E10" s="18"/>
      <c r="F10" s="18"/>
      <c r="G10" s="18"/>
      <c r="H10" s="18"/>
      <c r="I10" s="18"/>
      <c r="J10" s="18"/>
      <c r="K10" s="25"/>
      <c r="L10" s="18"/>
      <c r="M10" s="50" t="s">
        <v>64</v>
      </c>
      <c r="N10" s="66">
        <v>65</v>
      </c>
      <c r="O10" s="67"/>
      <c r="P10" s="52" t="s">
        <v>70</v>
      </c>
      <c r="Q10" s="52" t="s">
        <v>71</v>
      </c>
      <c r="R10" s="52" t="s">
        <v>69</v>
      </c>
      <c r="S10" s="53" t="s">
        <v>72</v>
      </c>
      <c r="T10" s="55"/>
    </row>
    <row r="11" spans="1:21" ht="13.5" thickBot="1" x14ac:dyDescent="0.25">
      <c r="A11" s="14"/>
      <c r="B11" s="32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50" t="s">
        <v>65</v>
      </c>
      <c r="N11" s="56">
        <v>60</v>
      </c>
      <c r="O11" s="57"/>
      <c r="P11" s="54">
        <v>65</v>
      </c>
      <c r="Q11" s="54">
        <v>6.4</v>
      </c>
      <c r="R11" s="54">
        <v>5</v>
      </c>
      <c r="S11" s="54">
        <v>18</v>
      </c>
    </row>
    <row r="12" spans="1:21" ht="13.5" thickBot="1" x14ac:dyDescent="0.25">
      <c r="A12" s="14"/>
      <c r="B12" s="33" t="str">
        <f>N2&amp;" metros"</f>
        <v>18 metros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50" t="s">
        <v>66</v>
      </c>
      <c r="N12" s="56">
        <v>160</v>
      </c>
      <c r="O12" s="57"/>
      <c r="P12" s="54">
        <v>65</v>
      </c>
      <c r="Q12" s="54">
        <v>6.4</v>
      </c>
      <c r="R12" s="54">
        <v>6</v>
      </c>
      <c r="S12" s="54">
        <v>18</v>
      </c>
    </row>
    <row r="13" spans="1:21" ht="13.5" thickBot="1" x14ac:dyDescent="0.25">
      <c r="A13" s="14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50" t="s">
        <v>67</v>
      </c>
      <c r="N13" s="56">
        <v>300</v>
      </c>
      <c r="O13" s="57"/>
      <c r="P13" s="54">
        <v>65</v>
      </c>
      <c r="Q13" s="54">
        <v>6.4</v>
      </c>
      <c r="R13" s="54">
        <v>4</v>
      </c>
      <c r="S13" s="54">
        <v>18</v>
      </c>
    </row>
    <row r="14" spans="1:21" ht="13.5" thickBot="1" x14ac:dyDescent="0.25">
      <c r="A14" s="14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50" t="s">
        <v>68</v>
      </c>
      <c r="N14" s="56"/>
      <c r="O14" s="57"/>
      <c r="P14" s="54"/>
      <c r="Q14" s="54"/>
      <c r="R14" s="54"/>
      <c r="S14" s="54"/>
    </row>
    <row r="15" spans="1:21" ht="12" customHeight="1" x14ac:dyDescent="0.2">
      <c r="A15" s="14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22"/>
    </row>
    <row r="16" spans="1:21" ht="12" customHeight="1" x14ac:dyDescent="0.2">
      <c r="A16" s="14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22"/>
    </row>
    <row r="17" spans="1:19" ht="12" customHeight="1" x14ac:dyDescent="0.2">
      <c r="A17" s="14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22"/>
    </row>
    <row r="18" spans="1:19" ht="12" customHeight="1" x14ac:dyDescent="0.2">
      <c r="A18" s="14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22"/>
    </row>
    <row r="19" spans="1:19" ht="12" customHeight="1" x14ac:dyDescent="0.2">
      <c r="A19" s="14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22"/>
    </row>
    <row r="20" spans="1:19" ht="12" customHeight="1" x14ac:dyDescent="0.2">
      <c r="A20" s="14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22"/>
    </row>
    <row r="21" spans="1:19" ht="12" customHeight="1" x14ac:dyDescent="0.2">
      <c r="A21" s="14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22"/>
    </row>
    <row r="22" spans="1:19" ht="10.5" customHeight="1" x14ac:dyDescent="0.2">
      <c r="A22" s="14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22"/>
    </row>
    <row r="23" spans="1:19" ht="10.5" customHeight="1" x14ac:dyDescent="0.2">
      <c r="A23" s="14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22"/>
    </row>
    <row r="24" spans="1:19" ht="9.75" customHeight="1" thickBot="1" x14ac:dyDescent="0.25">
      <c r="A24" s="14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22"/>
    </row>
    <row r="25" spans="1:19" s="1" customFormat="1" ht="16.5" thickBot="1" x14ac:dyDescent="0.3">
      <c r="A25" s="14"/>
      <c r="B25" s="19" t="s">
        <v>7</v>
      </c>
      <c r="C25" s="18"/>
      <c r="D25" s="71" t="s">
        <v>0</v>
      </c>
      <c r="E25" s="72"/>
      <c r="F25" s="72"/>
      <c r="G25" s="72"/>
      <c r="H25" s="9">
        <f>IF($N$2/TAN($U$3*PI()/180)&lt;0,"",$N$2/TAN($U$3*PI()/180))</f>
        <v>142.4846715895049</v>
      </c>
      <c r="I25" s="8" t="str">
        <f>IF(H25="","Horizonte","Metros")</f>
        <v>Metros</v>
      </c>
      <c r="J25" s="18"/>
      <c r="K25" s="18"/>
      <c r="L25" s="18"/>
      <c r="M25" s="18"/>
      <c r="N25" s="18"/>
      <c r="O25" s="18"/>
      <c r="P25" s="18"/>
      <c r="Q25" s="18"/>
      <c r="R25" s="18"/>
      <c r="S25" s="22"/>
    </row>
    <row r="26" spans="1:19" s="1" customFormat="1" ht="16.5" thickBot="1" x14ac:dyDescent="0.3">
      <c r="A26" s="14"/>
      <c r="B26" s="18"/>
      <c r="C26" s="18"/>
      <c r="D26" s="73" t="s">
        <v>10</v>
      </c>
      <c r="E26" s="74"/>
      <c r="F26" s="74"/>
      <c r="G26" s="74"/>
      <c r="H26" s="7"/>
      <c r="I26" s="7"/>
      <c r="J26" s="3"/>
      <c r="K26" s="6">
        <f>IF($N$2/TAN($N$4*PI()/180)&lt;0,"",$N$2/TAN($N$4*PI()/180))</f>
        <v>257.41199262081471</v>
      </c>
      <c r="L26" s="28" t="str">
        <f>IF(K26="","Horizonte","Metros")</f>
        <v>Metros</v>
      </c>
      <c r="M26" s="18"/>
      <c r="N26" s="18"/>
      <c r="O26" s="18"/>
      <c r="P26" s="18"/>
      <c r="Q26" s="18"/>
      <c r="R26" s="18"/>
      <c r="S26" s="22"/>
    </row>
    <row r="27" spans="1:19" s="1" customFormat="1" ht="17.25" thickTop="1" thickBot="1" x14ac:dyDescent="0.3">
      <c r="A27" s="23"/>
      <c r="B27" s="24"/>
      <c r="C27" s="24"/>
      <c r="D27" s="60" t="s">
        <v>9</v>
      </c>
      <c r="E27" s="61"/>
      <c r="F27" s="61"/>
      <c r="G27" s="61"/>
      <c r="H27" s="15"/>
      <c r="I27" s="15"/>
      <c r="J27" s="15"/>
      <c r="K27" s="15"/>
      <c r="L27" s="15"/>
      <c r="M27" s="15"/>
      <c r="N27" s="16"/>
      <c r="O27" s="17">
        <f>IF($N$2/TAN($U$2*PI()/180)&lt;0,"",$N$2/TAN($U$2*PI()/180))</f>
        <v>1289.0712621514015</v>
      </c>
      <c r="P27" s="58" t="str">
        <f>IF(O27="","Horizonte","Metros")</f>
        <v>Metros</v>
      </c>
      <c r="Q27" s="58"/>
      <c r="R27" s="58"/>
      <c r="S27" s="59"/>
    </row>
    <row r="28" spans="1:19" ht="13.5" thickTop="1" x14ac:dyDescent="0.2"/>
  </sheetData>
  <mergeCells count="17">
    <mergeCell ref="F2:H2"/>
    <mergeCell ref="D25:G25"/>
    <mergeCell ref="D26:G26"/>
    <mergeCell ref="J2:M2"/>
    <mergeCell ref="J3:M3"/>
    <mergeCell ref="J4:M4"/>
    <mergeCell ref="N12:O12"/>
    <mergeCell ref="N13:O13"/>
    <mergeCell ref="P27:S27"/>
    <mergeCell ref="D27:G27"/>
    <mergeCell ref="J5:M5"/>
    <mergeCell ref="N7:O7"/>
    <mergeCell ref="N8:O8"/>
    <mergeCell ref="N9:O9"/>
    <mergeCell ref="N10:O10"/>
    <mergeCell ref="N11:O11"/>
    <mergeCell ref="N14:O14"/>
  </mergeCells>
  <phoneticPr fontId="0" type="noConversion"/>
  <conditionalFormatting sqref="B1:B9 B13:B24 H3:H4 N5:R5 G3 G5:G24 F3:F24 H6:H24 C25:C27 I8:J24 J25 M26:S26 I7 I2:I5 J6 F1:R1 C1:E24 A1:A27 B26:B27 O6:R6 P7:R9 S14:S25 S1:S10 K6:N25 O15:O25 P11:R25">
    <cfRule type="cellIs" dxfId="1" priority="4" stopIfTrue="1" operator="equal">
      <formula>""</formula>
    </cfRule>
  </conditionalFormatting>
  <conditionalFormatting sqref="S11:S13">
    <cfRule type="cellIs" dxfId="0" priority="1" stopIfTrue="1" operator="equal">
      <formula>""</formula>
    </cfRule>
  </conditionalFormatting>
  <pageMargins left="0.75" right="0.75" top="1" bottom="1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2" r:id="rId4" name="Drop Down 58">
              <controlPr defaultSize="0" autoLine="0" autoPict="0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" name="Spinner 59">
              <controlPr defaultSize="0" autoPict="0">
                <anchor moveWithCells="1" sizeWithCells="1">
                  <from>
                    <xdr:col>13</xdr:col>
                    <xdr:colOff>447675</xdr:colOff>
                    <xdr:row>3</xdr:row>
                    <xdr:rowOff>0</xdr:rowOff>
                  </from>
                  <to>
                    <xdr:col>13</xdr:col>
                    <xdr:colOff>561975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48"/>
  <sheetViews>
    <sheetView topLeftCell="A28" workbookViewId="0">
      <selection activeCell="I39" sqref="I39"/>
    </sheetView>
  </sheetViews>
  <sheetFormatPr defaultRowHeight="12.75" x14ac:dyDescent="0.2"/>
  <cols>
    <col min="2" max="2" width="24.85546875" style="11" bestFit="1" customWidth="1"/>
    <col min="3" max="3" width="10.140625" style="10" bestFit="1" customWidth="1"/>
  </cols>
  <sheetData>
    <row r="1" spans="1:5" x14ac:dyDescent="0.2">
      <c r="A1">
        <v>1</v>
      </c>
      <c r="B1" s="36" t="s">
        <v>12</v>
      </c>
      <c r="C1" s="45" t="s">
        <v>54</v>
      </c>
      <c r="E1" s="34"/>
    </row>
    <row r="2" spans="1:5" x14ac:dyDescent="0.2">
      <c r="A2">
        <v>2</v>
      </c>
      <c r="B2" s="36" t="s">
        <v>13</v>
      </c>
      <c r="C2" s="45" t="s">
        <v>54</v>
      </c>
      <c r="E2" s="34"/>
    </row>
    <row r="3" spans="1:5" x14ac:dyDescent="0.2">
      <c r="A3">
        <v>3</v>
      </c>
      <c r="B3" s="36" t="s">
        <v>14</v>
      </c>
      <c r="C3" s="45" t="s">
        <v>54</v>
      </c>
      <c r="E3" s="34"/>
    </row>
    <row r="4" spans="1:5" x14ac:dyDescent="0.2">
      <c r="A4">
        <v>4</v>
      </c>
      <c r="B4" s="36" t="s">
        <v>16</v>
      </c>
      <c r="C4" s="45">
        <v>11.5</v>
      </c>
      <c r="E4" s="34"/>
    </row>
    <row r="5" spans="1:5" x14ac:dyDescent="0.2">
      <c r="A5">
        <v>5</v>
      </c>
      <c r="B5" s="36" t="s">
        <v>17</v>
      </c>
      <c r="C5" s="45">
        <v>7</v>
      </c>
      <c r="E5" s="34"/>
    </row>
    <row r="6" spans="1:5" x14ac:dyDescent="0.2">
      <c r="A6">
        <v>6</v>
      </c>
      <c r="B6" s="36" t="s">
        <v>21</v>
      </c>
      <c r="C6" s="45">
        <v>7</v>
      </c>
      <c r="E6" s="34"/>
    </row>
    <row r="7" spans="1:5" x14ac:dyDescent="0.2">
      <c r="A7">
        <v>7</v>
      </c>
      <c r="B7" s="36" t="s">
        <v>18</v>
      </c>
      <c r="C7" s="45">
        <v>6.5</v>
      </c>
      <c r="E7" s="34"/>
    </row>
    <row r="8" spans="1:5" x14ac:dyDescent="0.2">
      <c r="A8">
        <v>8</v>
      </c>
      <c r="B8" s="37" t="s">
        <v>22</v>
      </c>
      <c r="C8" s="45">
        <v>7</v>
      </c>
      <c r="E8" s="34"/>
    </row>
    <row r="9" spans="1:5" x14ac:dyDescent="0.2">
      <c r="A9">
        <v>9</v>
      </c>
      <c r="B9" s="37" t="s">
        <v>23</v>
      </c>
      <c r="C9" s="45">
        <v>7</v>
      </c>
      <c r="E9" s="34"/>
    </row>
    <row r="10" spans="1:5" x14ac:dyDescent="0.2">
      <c r="A10">
        <v>10</v>
      </c>
      <c r="B10" s="37" t="s">
        <v>24</v>
      </c>
      <c r="C10" s="45">
        <v>7</v>
      </c>
      <c r="E10" s="34"/>
    </row>
    <row r="11" spans="1:5" x14ac:dyDescent="0.2">
      <c r="A11">
        <v>11</v>
      </c>
      <c r="B11" s="36" t="s">
        <v>25</v>
      </c>
      <c r="C11" s="45">
        <v>7</v>
      </c>
      <c r="E11" s="34"/>
    </row>
    <row r="12" spans="1:5" x14ac:dyDescent="0.2">
      <c r="A12">
        <v>12</v>
      </c>
      <c r="B12" s="36" t="s">
        <v>20</v>
      </c>
      <c r="C12" s="45">
        <v>5</v>
      </c>
      <c r="E12" s="35"/>
    </row>
    <row r="13" spans="1:5" x14ac:dyDescent="0.2">
      <c r="A13">
        <v>13</v>
      </c>
      <c r="B13" s="36" t="s">
        <v>26</v>
      </c>
      <c r="C13" s="45">
        <v>5</v>
      </c>
      <c r="E13" s="35"/>
    </row>
    <row r="14" spans="1:5" x14ac:dyDescent="0.2">
      <c r="A14">
        <v>14</v>
      </c>
      <c r="B14" s="36" t="s">
        <v>27</v>
      </c>
      <c r="C14" s="45">
        <v>5</v>
      </c>
      <c r="E14" s="35"/>
    </row>
    <row r="15" spans="1:5" x14ac:dyDescent="0.2">
      <c r="A15">
        <v>15</v>
      </c>
      <c r="B15" s="36" t="s">
        <v>28</v>
      </c>
      <c r="C15" s="45">
        <v>7</v>
      </c>
    </row>
    <row r="16" spans="1:5" x14ac:dyDescent="0.2">
      <c r="A16">
        <v>16</v>
      </c>
      <c r="B16" s="36" t="s">
        <v>15</v>
      </c>
      <c r="C16" s="48">
        <v>7</v>
      </c>
    </row>
    <row r="17" spans="1:3" x14ac:dyDescent="0.2">
      <c r="A17">
        <v>17</v>
      </c>
      <c r="B17" s="36" t="s">
        <v>19</v>
      </c>
      <c r="C17" s="45" t="s">
        <v>55</v>
      </c>
    </row>
    <row r="18" spans="1:3" x14ac:dyDescent="0.2">
      <c r="A18">
        <v>18</v>
      </c>
      <c r="B18" s="36" t="s">
        <v>29</v>
      </c>
      <c r="C18" s="45">
        <v>8</v>
      </c>
    </row>
    <row r="19" spans="1:3" x14ac:dyDescent="0.2">
      <c r="A19">
        <v>19</v>
      </c>
      <c r="B19" s="36" t="s">
        <v>30</v>
      </c>
      <c r="C19" s="45">
        <v>7</v>
      </c>
    </row>
    <row r="20" spans="1:3" x14ac:dyDescent="0.2">
      <c r="A20">
        <v>20</v>
      </c>
      <c r="B20" s="36" t="s">
        <v>31</v>
      </c>
      <c r="C20" s="45">
        <v>7</v>
      </c>
    </row>
    <row r="21" spans="1:3" x14ac:dyDescent="0.2">
      <c r="A21">
        <v>21</v>
      </c>
      <c r="B21" s="36" t="s">
        <v>32</v>
      </c>
      <c r="C21" s="45">
        <v>7</v>
      </c>
    </row>
    <row r="22" spans="1:3" x14ac:dyDescent="0.2">
      <c r="A22">
        <v>22</v>
      </c>
      <c r="B22" s="36" t="s">
        <v>33</v>
      </c>
      <c r="C22" s="45">
        <v>9</v>
      </c>
    </row>
    <row r="23" spans="1:3" x14ac:dyDescent="0.2">
      <c r="A23">
        <v>23</v>
      </c>
      <c r="B23" s="36" t="s">
        <v>34</v>
      </c>
      <c r="C23" s="45">
        <v>6.5</v>
      </c>
    </row>
    <row r="24" spans="1:3" x14ac:dyDescent="0.2">
      <c r="A24">
        <v>24</v>
      </c>
      <c r="B24" s="38" t="s">
        <v>35</v>
      </c>
      <c r="C24" s="45">
        <v>7</v>
      </c>
    </row>
    <row r="25" spans="1:3" x14ac:dyDescent="0.2">
      <c r="A25">
        <v>25</v>
      </c>
      <c r="B25" s="38" t="s">
        <v>36</v>
      </c>
      <c r="C25" s="45">
        <v>7</v>
      </c>
    </row>
    <row r="26" spans="1:3" x14ac:dyDescent="0.2">
      <c r="A26">
        <v>26</v>
      </c>
      <c r="B26" s="39" t="s">
        <v>37</v>
      </c>
      <c r="C26" s="45">
        <v>8.5</v>
      </c>
    </row>
    <row r="27" spans="1:3" x14ac:dyDescent="0.2">
      <c r="A27">
        <v>27</v>
      </c>
      <c r="B27" s="39" t="s">
        <v>38</v>
      </c>
      <c r="C27" s="45">
        <v>8.5</v>
      </c>
    </row>
    <row r="28" spans="1:3" x14ac:dyDescent="0.2">
      <c r="A28">
        <v>28</v>
      </c>
      <c r="B28" s="39" t="s">
        <v>39</v>
      </c>
      <c r="C28" s="45">
        <v>14</v>
      </c>
    </row>
    <row r="29" spans="1:3" x14ac:dyDescent="0.2">
      <c r="A29">
        <v>29</v>
      </c>
      <c r="B29" s="39" t="s">
        <v>40</v>
      </c>
      <c r="C29" s="45">
        <v>9.5</v>
      </c>
    </row>
    <row r="30" spans="1:3" x14ac:dyDescent="0.2">
      <c r="A30">
        <v>30</v>
      </c>
      <c r="B30" s="40" t="s">
        <v>41</v>
      </c>
      <c r="C30" s="45">
        <v>8</v>
      </c>
    </row>
    <row r="31" spans="1:3" x14ac:dyDescent="0.2">
      <c r="A31">
        <v>31</v>
      </c>
      <c r="B31" s="41" t="s">
        <v>42</v>
      </c>
      <c r="C31" s="45">
        <v>7</v>
      </c>
    </row>
    <row r="32" spans="1:3" x14ac:dyDescent="0.2">
      <c r="A32">
        <v>32</v>
      </c>
      <c r="B32" s="42" t="s">
        <v>43</v>
      </c>
      <c r="C32" s="45">
        <v>10</v>
      </c>
    </row>
    <row r="33" spans="1:3" x14ac:dyDescent="0.2">
      <c r="A33">
        <v>33</v>
      </c>
      <c r="B33" s="42" t="s">
        <v>44</v>
      </c>
      <c r="C33" s="45">
        <v>5</v>
      </c>
    </row>
    <row r="34" spans="1:3" x14ac:dyDescent="0.2">
      <c r="A34">
        <v>34</v>
      </c>
      <c r="B34" s="43" t="s">
        <v>45</v>
      </c>
      <c r="C34" s="45">
        <v>14.5</v>
      </c>
    </row>
    <row r="35" spans="1:3" x14ac:dyDescent="0.2">
      <c r="A35">
        <v>35</v>
      </c>
      <c r="B35" s="43" t="s">
        <v>46</v>
      </c>
      <c r="C35" s="45">
        <v>7.8</v>
      </c>
    </row>
    <row r="36" spans="1:3" x14ac:dyDescent="0.2">
      <c r="A36">
        <v>36</v>
      </c>
      <c r="B36" s="43" t="s">
        <v>47</v>
      </c>
      <c r="C36" s="45">
        <v>10</v>
      </c>
    </row>
    <row r="37" spans="1:3" x14ac:dyDescent="0.2">
      <c r="A37">
        <v>37</v>
      </c>
      <c r="B37" s="43" t="s">
        <v>48</v>
      </c>
      <c r="C37" s="45">
        <v>5.2</v>
      </c>
    </row>
    <row r="38" spans="1:3" x14ac:dyDescent="0.2">
      <c r="A38">
        <v>38</v>
      </c>
      <c r="B38" s="43" t="s">
        <v>49</v>
      </c>
      <c r="C38" s="45">
        <v>10</v>
      </c>
    </row>
    <row r="39" spans="1:3" x14ac:dyDescent="0.2">
      <c r="A39">
        <v>39</v>
      </c>
      <c r="B39" s="43" t="s">
        <v>50</v>
      </c>
      <c r="C39" s="45">
        <v>5</v>
      </c>
    </row>
    <row r="40" spans="1:3" x14ac:dyDescent="0.2">
      <c r="A40">
        <v>40</v>
      </c>
      <c r="B40" s="44" t="s">
        <v>51</v>
      </c>
      <c r="C40" s="45">
        <v>40</v>
      </c>
    </row>
    <row r="41" spans="1:3" x14ac:dyDescent="0.2">
      <c r="A41">
        <v>41</v>
      </c>
      <c r="B41" s="44" t="s">
        <v>52</v>
      </c>
      <c r="C41" s="45">
        <v>90</v>
      </c>
    </row>
    <row r="42" spans="1:3" x14ac:dyDescent="0.2">
      <c r="A42">
        <v>42</v>
      </c>
      <c r="B42" s="44" t="s">
        <v>53</v>
      </c>
      <c r="C42" s="45">
        <v>28</v>
      </c>
    </row>
    <row r="43" spans="1:3" x14ac:dyDescent="0.2">
      <c r="A43">
        <v>43</v>
      </c>
      <c r="B43" s="49" t="s">
        <v>60</v>
      </c>
      <c r="C43" s="10">
        <v>6.4</v>
      </c>
    </row>
    <row r="44" spans="1:3" x14ac:dyDescent="0.2">
      <c r="A44">
        <v>44</v>
      </c>
      <c r="B44" s="12" t="s">
        <v>56</v>
      </c>
      <c r="C44" s="46">
        <v>6.5</v>
      </c>
    </row>
    <row r="45" spans="1:3" x14ac:dyDescent="0.2">
      <c r="A45">
        <v>45</v>
      </c>
      <c r="B45" s="11" t="s">
        <v>57</v>
      </c>
      <c r="C45" s="47">
        <v>6.4</v>
      </c>
    </row>
    <row r="46" spans="1:3" x14ac:dyDescent="0.2">
      <c r="A46">
        <v>46</v>
      </c>
      <c r="B46" s="38" t="s">
        <v>58</v>
      </c>
      <c r="C46" s="47">
        <v>6.5</v>
      </c>
    </row>
    <row r="47" spans="1:3" x14ac:dyDescent="0.2">
      <c r="A47">
        <v>47</v>
      </c>
      <c r="B47" s="11" t="s">
        <v>59</v>
      </c>
      <c r="C47" s="47">
        <v>6.4</v>
      </c>
    </row>
    <row r="48" spans="1:3" x14ac:dyDescent="0.2">
      <c r="A48">
        <v>48</v>
      </c>
      <c r="B48" s="49" t="s">
        <v>60</v>
      </c>
      <c r="C48" s="10">
        <v>6.4</v>
      </c>
    </row>
  </sheetData>
  <phoneticPr fontId="0" type="noConversion"/>
  <pageMargins left="0.75" right="0.75" top="1" bottom="1" header="0.49212598499999999" footer="0.49212598499999999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>
      <selection activeCell="I10" sqref="I10"/>
    </sheetView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Cálculo</vt:lpstr>
      <vt:lpstr>Antenas</vt:lpstr>
      <vt:lpstr>KML</vt:lpstr>
    </vt:vector>
  </TitlesOfParts>
  <Company>Tele Nordeste Celular Participação S.A.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alexandre.bezerra</dc:creator>
  <cp:lastModifiedBy>Daniel Dos Santos Cerqueira</cp:lastModifiedBy>
  <dcterms:created xsi:type="dcterms:W3CDTF">2002-01-12T13:07:06Z</dcterms:created>
  <dcterms:modified xsi:type="dcterms:W3CDTF">2017-07-03T20:06:51Z</dcterms:modified>
</cp:coreProperties>
</file>